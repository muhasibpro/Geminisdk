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hsulot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 &quot;turdagi&quot;"/>
    <numFmt numFmtId="165" formatCode="#,##0 &quot;dona/kg&quot;"/>
    <numFmt numFmtId="166" formatCode="#,##0 &quot;so'm&quot;"/>
    <numFmt numFmtId="167" formatCode="#,##0 &quot;ta tovar&quot;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94A3B8"/>
      <sz val="10"/>
    </font>
    <font>
      <name val="Arial"/>
      <b val="1"/>
      <color rgb="0064748B"/>
      <sz val="9"/>
    </font>
    <font>
      <name val="Arial"/>
      <b val="1"/>
      <color rgb="000F172A"/>
      <sz val="13"/>
    </font>
    <font>
      <name val="Arial"/>
      <b val="1"/>
      <color rgb="00FFFFFF"/>
      <sz val="10"/>
    </font>
    <font>
      <name val="Arial"/>
      <color rgb="001E293B"/>
      <sz val="10"/>
    </font>
    <font>
      <name val="Courier New"/>
      <b val="1"/>
      <color rgb="001E40AF"/>
      <sz val="10"/>
    </font>
    <font>
      <name val="Arial"/>
      <b val="1"/>
      <color rgb="00166534"/>
      <sz val="10"/>
    </font>
    <font>
      <name val="Arial"/>
      <b val="1"/>
      <color rgb="009A3412"/>
      <sz val="10"/>
    </font>
    <font>
      <name val="Arial"/>
      <b val="1"/>
      <color rgb="00991B1B"/>
      <sz val="10"/>
    </font>
    <font>
      <name val="Arial"/>
      <b val="1"/>
      <color rgb="000F172A"/>
      <sz val="11"/>
    </font>
    <font>
      <name val="Arial"/>
      <b val="1"/>
      <color rgb="0015803D"/>
      <sz val="11"/>
    </font>
  </fonts>
  <fills count="8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1A73E8"/>
        <bgColor rgb="001A73E8"/>
      </patternFill>
    </fill>
    <fill>
      <patternFill patternType="solid">
        <fgColor rgb="00DCFCE7"/>
        <bgColor rgb="00DCFCE7"/>
      </patternFill>
    </fill>
    <fill>
      <patternFill patternType="solid">
        <fgColor rgb="00FFEDD5"/>
        <bgColor rgb="00FFEDD5"/>
      </patternFill>
    </fill>
    <fill>
      <patternFill patternType="solid">
        <fgColor rgb="00FEE2E2"/>
        <bgColor rgb="00FEE2E2"/>
      </patternFill>
    </fill>
  </fills>
  <borders count="1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1557B0"/>
      </left>
      <right style="thin">
        <color rgb="001557B0"/>
      </right>
      <top style="medium">
        <color rgb="001557B0"/>
      </top>
      <bottom style="medium">
        <color rgb="001557B0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 style="thin">
        <color rgb="00E2E8F0"/>
      </right>
      <top style="medium">
        <color rgb="001A73E8"/>
      </top>
      <bottom style="double">
        <color rgb="001A73E8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/>
      <top style="medium">
        <color rgb="001A73E8"/>
      </top>
      <bottom/>
      <diagonal/>
    </border>
    <border>
      <left/>
      <right style="thin">
        <color rgb="00E2E8F0"/>
      </right>
      <top style="medium">
        <color rgb="001A73E8"/>
      </top>
      <bottom/>
      <diagonal/>
    </border>
    <border>
      <left/>
      <right/>
      <top style="medium">
        <color rgb="001A73E8"/>
      </top>
      <bottom style="double">
        <color rgb="001A73E8"/>
      </bottom>
      <diagonal/>
    </border>
    <border>
      <left/>
      <right style="thin">
        <color rgb="00E2E8F0"/>
      </right>
      <top style="medium">
        <color rgb="001A73E8"/>
      </top>
      <bottom style="double">
        <color rgb="001A73E8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164" fontId="4" fillId="3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center" vertical="center"/>
    </xf>
    <xf numFmtId="166" fontId="4" fillId="3" borderId="1" applyAlignment="1" pivotButton="0" quotePrefix="0" xfId="0">
      <alignment horizontal="center" vertical="center"/>
    </xf>
    <xf numFmtId="167" fontId="4" fillId="3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49" fontId="7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horizontal="left" vertical="center"/>
    </xf>
    <xf numFmtId="166" fontId="6" fillId="0" borderId="3" applyAlignment="1" pivotButton="0" quotePrefix="0" xfId="0">
      <alignment horizontal="right" vertical="center"/>
    </xf>
    <xf numFmtId="3" fontId="6" fillId="0" borderId="3" applyAlignment="1" pivotButton="0" quotePrefix="0" xfId="0">
      <alignment horizontal="right" vertical="center"/>
    </xf>
    <xf numFmtId="0" fontId="8" fillId="5" borderId="3" applyAlignment="1" pivotButton="0" quotePrefix="0" xfId="0">
      <alignment horizontal="center" vertical="center"/>
    </xf>
    <xf numFmtId="0" fontId="6" fillId="3" borderId="3" applyAlignment="1" pivotButton="0" quotePrefix="0" xfId="0">
      <alignment horizontal="center" vertical="center"/>
    </xf>
    <xf numFmtId="49" fontId="7" fillId="3" borderId="3" applyAlignment="1" pivotButton="0" quotePrefix="0" xfId="0">
      <alignment horizontal="center" vertical="center"/>
    </xf>
    <xf numFmtId="0" fontId="6" fillId="3" borderId="3" applyAlignment="1" pivotButton="0" quotePrefix="0" xfId="0">
      <alignment horizontal="left" vertical="center"/>
    </xf>
    <xf numFmtId="166" fontId="6" fillId="3" borderId="3" applyAlignment="1" pivotButton="0" quotePrefix="0" xfId="0">
      <alignment horizontal="right" vertical="center"/>
    </xf>
    <xf numFmtId="3" fontId="6" fillId="3" borderId="3" applyAlignment="1" pivotButton="0" quotePrefix="0" xfId="0">
      <alignment horizontal="right" vertical="center"/>
    </xf>
    <xf numFmtId="0" fontId="9" fillId="6" borderId="3" applyAlignment="1" pivotButton="0" quotePrefix="0" xfId="0">
      <alignment horizontal="center" vertical="center"/>
    </xf>
    <xf numFmtId="0" fontId="10" fillId="7" borderId="3" applyAlignment="1" pivotButton="0" quotePrefix="0" xfId="0">
      <alignment horizontal="center" vertical="center"/>
    </xf>
    <xf numFmtId="0" fontId="11" fillId="0" borderId="4" applyAlignment="1" pivotButton="0" quotePrefix="0" xfId="0">
      <alignment horizontal="right" vertical="center"/>
    </xf>
    <xf numFmtId="0" fontId="0" fillId="0" borderId="4" pivotButton="0" quotePrefix="0" xfId="0"/>
    <xf numFmtId="166" fontId="11" fillId="0" borderId="4" applyAlignment="1" pivotButton="0" quotePrefix="0" xfId="0">
      <alignment horizontal="right" vertical="center"/>
    </xf>
    <xf numFmtId="3" fontId="12" fillId="0" borderId="4" applyAlignment="1" pivotButton="0" quotePrefix="0" xfId="0">
      <alignment horizontal="right" vertical="center"/>
    </xf>
    <xf numFmtId="166" fontId="12" fillId="0" borderId="4" applyAlignment="1" pivotButton="0" quotePrefix="0" xfId="0">
      <alignment horizontal="right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20" customWidth="1" min="4" max="4"/>
    <col width="10" customWidth="1" min="5" max="5"/>
    <col width="18" customWidth="1" min="6" max="6"/>
    <col width="18" customWidth="1" min="7" max="7"/>
    <col width="16" customWidth="1" min="8" max="8"/>
    <col width="22" customWidth="1" min="9" max="9"/>
    <col width="14" customWidth="1" min="10" max="10"/>
  </cols>
  <sheetData>
    <row r="1" ht="36" customHeight="1">
      <c r="A1" s="1" t="inlineStr">
        <is>
          <t>MUHASIB POS — Maxsulotlar va Qoldiqlar Hisoboti</t>
        </is>
      </c>
    </row>
    <row r="2" ht="20" customHeight="1">
      <c r="A2" s="2" t="inlineStr">
        <is>
          <t>Sana: 2026-08-01 19:43  |  Kassa: #1 (Asosiy Ombor)  |  Avtomatik shakllantirilgan Excel hisoboti</t>
        </is>
      </c>
    </row>
    <row r="3" ht="10" customHeight="1"/>
    <row r="4" ht="18" customHeight="1">
      <c r="A4" s="3" t="inlineStr">
        <is>
          <t>JAMI MAHSULOT TURLARI</t>
        </is>
      </c>
      <c r="B4" s="28" t="n"/>
      <c r="C4" s="3" t="inlineStr">
        <is>
          <t>UMUMIY OMBOR QOLDIG'I</t>
        </is>
      </c>
      <c r="D4" s="28" t="n"/>
      <c r="E4" s="3" t="inlineStr">
        <is>
          <t>OMBOR UMUMIY QIYMATI</t>
        </is>
      </c>
      <c r="F4" s="29" t="n"/>
      <c r="G4" s="28" t="n"/>
      <c r="H4" s="3" t="inlineStr">
        <is>
          <t>KAM QOLGAN TOVARLAR</t>
        </is>
      </c>
      <c r="I4" s="29" t="n"/>
      <c r="J4" s="28" t="n"/>
    </row>
    <row r="5" ht="24" customHeight="1">
      <c r="A5" s="5">
        <f>COUNTA(C8:C22)</f>
        <v/>
      </c>
      <c r="B5" s="28" t="n"/>
      <c r="C5" s="6">
        <f>SUM(H8:H22)</f>
        <v/>
      </c>
      <c r="D5" s="28" t="n"/>
      <c r="E5" s="7">
        <f>SUM(I8:I22)</f>
        <v/>
      </c>
      <c r="F5" s="29" t="n"/>
      <c r="G5" s="28" t="n"/>
      <c r="H5" s="8">
        <f>COUNTIF(H8:H22, "&lt;=10")</f>
        <v/>
      </c>
      <c r="I5" s="29" t="n"/>
      <c r="J5" s="28" t="n"/>
    </row>
    <row r="6" ht="12" customHeight="1"/>
    <row r="7" ht="28" customHeight="1">
      <c r="A7" s="9" t="inlineStr">
        <is>
          <t>№</t>
        </is>
      </c>
      <c r="B7" s="9" t="inlineStr">
        <is>
          <t>Shtrix-kod (Barcode)</t>
        </is>
      </c>
      <c r="C7" s="9" t="inlineStr">
        <is>
          <t>Maxsulot Nomi</t>
        </is>
      </c>
      <c r="D7" s="9" t="inlineStr">
        <is>
          <t>Kategoriya</t>
        </is>
      </c>
      <c r="E7" s="9" t="inlineStr">
        <is>
          <t>Birlik</t>
        </is>
      </c>
      <c r="F7" s="9" t="inlineStr">
        <is>
          <t>Keltirilgan Narx</t>
        </is>
      </c>
      <c r="G7" s="9" t="inlineStr">
        <is>
          <t>Sotish Narxi</t>
        </is>
      </c>
      <c r="H7" s="9" t="inlineStr">
        <is>
          <t>Qoldiq (Soni)</t>
        </is>
      </c>
      <c r="I7" s="9" t="inlineStr">
        <is>
          <t>Umumiy Qiymat</t>
        </is>
      </c>
      <c r="J7" s="9" t="inlineStr">
        <is>
          <t>Holat</t>
        </is>
      </c>
    </row>
    <row r="8" ht="22" customHeight="1">
      <c r="A8" s="10" t="n">
        <v>1</v>
      </c>
      <c r="B8" s="11" t="inlineStr">
        <is>
          <t>4780001234015</t>
        </is>
      </c>
      <c r="C8" s="12" t="inlineStr">
        <is>
          <t>Coca-Cola 1.5L</t>
        </is>
      </c>
      <c r="D8" s="12" t="inlineStr">
        <is>
          <t>Ichimliklar</t>
        </is>
      </c>
      <c r="E8" s="10" t="inlineStr">
        <is>
          <t>dona</t>
        </is>
      </c>
      <c r="F8" s="13" t="n">
        <v>11000</v>
      </c>
      <c r="G8" s="13" t="n">
        <v>14000</v>
      </c>
      <c r="H8" s="14" t="n">
        <v>85</v>
      </c>
      <c r="I8" s="13">
        <f>G8*H8</f>
        <v/>
      </c>
      <c r="J8" s="15" t="inlineStr">
        <is>
          <t>Yetarli</t>
        </is>
      </c>
    </row>
    <row r="9" ht="22" customHeight="1">
      <c r="A9" s="16" t="n">
        <v>2</v>
      </c>
      <c r="B9" s="17" t="inlineStr">
        <is>
          <t>4780001234022</t>
        </is>
      </c>
      <c r="C9" s="18" t="inlineStr">
        <is>
          <t>Pepsi 1.0L</t>
        </is>
      </c>
      <c r="D9" s="18" t="inlineStr">
        <is>
          <t>Ichimliklar</t>
        </is>
      </c>
      <c r="E9" s="16" t="inlineStr">
        <is>
          <t>dona</t>
        </is>
      </c>
      <c r="F9" s="19" t="n">
        <v>8500</v>
      </c>
      <c r="G9" s="19" t="n">
        <v>11000</v>
      </c>
      <c r="H9" s="20" t="n">
        <v>120</v>
      </c>
      <c r="I9" s="19">
        <f>G9*H9</f>
        <v/>
      </c>
      <c r="J9" s="15" t="inlineStr">
        <is>
          <t>Yetarli</t>
        </is>
      </c>
    </row>
    <row r="10" ht="22" customHeight="1">
      <c r="A10" s="10" t="n">
        <v>3</v>
      </c>
      <c r="B10" s="11" t="inlineStr">
        <is>
          <t>4780001234039</t>
        </is>
      </c>
      <c r="C10" s="12" t="inlineStr">
        <is>
          <t>Nestlé Sut 1L (3.2%)</t>
        </is>
      </c>
      <c r="D10" s="12" t="inlineStr">
        <is>
          <t>Sut mahsulotlari</t>
        </is>
      </c>
      <c r="E10" s="10" t="inlineStr">
        <is>
          <t>dona</t>
        </is>
      </c>
      <c r="F10" s="13" t="n">
        <v>13500</v>
      </c>
      <c r="G10" s="13" t="n">
        <v>16500</v>
      </c>
      <c r="H10" s="14" t="n">
        <v>42</v>
      </c>
      <c r="I10" s="13">
        <f>G10*H10</f>
        <v/>
      </c>
      <c r="J10" s="15" t="inlineStr">
        <is>
          <t>Yetarli</t>
        </is>
      </c>
    </row>
    <row r="11" ht="22" customHeight="1">
      <c r="A11" s="16" t="n">
        <v>4</v>
      </c>
      <c r="B11" s="17" t="inlineStr">
        <is>
          <t>4780001234046</t>
        </is>
      </c>
      <c r="C11" s="18" t="inlineStr">
        <is>
          <t>Musaffo Smetana 200g</t>
        </is>
      </c>
      <c r="D11" s="18" t="inlineStr">
        <is>
          <t>Sut mahsulotlari</t>
        </is>
      </c>
      <c r="E11" s="16" t="inlineStr">
        <is>
          <t>dona</t>
        </is>
      </c>
      <c r="F11" s="19" t="n">
        <v>9000</v>
      </c>
      <c r="G11" s="19" t="n">
        <v>12000</v>
      </c>
      <c r="H11" s="20" t="n">
        <v>8</v>
      </c>
      <c r="I11" s="19">
        <f>G11*H11</f>
        <v/>
      </c>
      <c r="J11" s="21" t="inlineStr">
        <is>
          <t>Kam qoldi</t>
        </is>
      </c>
    </row>
    <row r="12" ht="22" customHeight="1">
      <c r="A12" s="10" t="n">
        <v>5</v>
      </c>
      <c r="B12" s="11" t="inlineStr">
        <is>
          <t>4780001234053</t>
        </is>
      </c>
      <c r="C12" s="12" t="inlineStr">
        <is>
          <t>Lays Kartoshka Chipsi 140g</t>
        </is>
      </c>
      <c r="D12" s="12" t="inlineStr">
        <is>
          <t>Sneklar</t>
        </is>
      </c>
      <c r="E12" s="10" t="inlineStr">
        <is>
          <t>dona</t>
        </is>
      </c>
      <c r="F12" s="13" t="n">
        <v>14000</v>
      </c>
      <c r="G12" s="13" t="n">
        <v>18000</v>
      </c>
      <c r="H12" s="14" t="n">
        <v>65</v>
      </c>
      <c r="I12" s="13">
        <f>G12*H12</f>
        <v/>
      </c>
      <c r="J12" s="15" t="inlineStr">
        <is>
          <t>Yetarli</t>
        </is>
      </c>
    </row>
    <row r="13" ht="22" customHeight="1">
      <c r="A13" s="16" t="n">
        <v>6</v>
      </c>
      <c r="B13" s="17" t="inlineStr">
        <is>
          <t>4780001234060</t>
        </is>
      </c>
      <c r="C13" s="18" t="inlineStr">
        <is>
          <t>Cheetos Pishloqli 80g</t>
        </is>
      </c>
      <c r="D13" s="18" t="inlineStr">
        <is>
          <t>Sneklar</t>
        </is>
      </c>
      <c r="E13" s="16" t="inlineStr">
        <is>
          <t>dona</t>
        </is>
      </c>
      <c r="F13" s="19" t="n">
        <v>6000</v>
      </c>
      <c r="G13" s="19" t="n">
        <v>8500</v>
      </c>
      <c r="H13" s="20" t="n">
        <v>4</v>
      </c>
      <c r="I13" s="19">
        <f>G13*H13</f>
        <v/>
      </c>
      <c r="J13" s="21" t="inlineStr">
        <is>
          <t>Kam qoldi</t>
        </is>
      </c>
    </row>
    <row r="14" ht="22" customHeight="1">
      <c r="A14" s="10" t="n">
        <v>7</v>
      </c>
      <c r="B14" s="11" t="inlineStr">
        <is>
          <t>4780001234077</t>
        </is>
      </c>
      <c r="C14" s="12" t="inlineStr">
        <is>
          <t>Nescafe Gold Qahva 100g</t>
        </is>
      </c>
      <c r="D14" s="12" t="inlineStr">
        <is>
          <t>Qahva va Choy</t>
        </is>
      </c>
      <c r="E14" s="10" t="inlineStr">
        <is>
          <t>dona</t>
        </is>
      </c>
      <c r="F14" s="13" t="n">
        <v>36000</v>
      </c>
      <c r="G14" s="13" t="n">
        <v>45000</v>
      </c>
      <c r="H14" s="14" t="n">
        <v>18</v>
      </c>
      <c r="I14" s="13">
        <f>G14*H14</f>
        <v/>
      </c>
      <c r="J14" s="15" t="inlineStr">
        <is>
          <t>Yetarli</t>
        </is>
      </c>
    </row>
    <row r="15" ht="22" customHeight="1">
      <c r="A15" s="16" t="n">
        <v>8</v>
      </c>
      <c r="B15" s="17" t="inlineStr">
        <is>
          <t>4780001234084</t>
        </is>
      </c>
      <c r="C15" s="18" t="inlineStr">
        <is>
          <t>Greenfield Choy Qora 100g</t>
        </is>
      </c>
      <c r="D15" s="18" t="inlineStr">
        <is>
          <t>Qahva va Choy</t>
        </is>
      </c>
      <c r="E15" s="16" t="inlineStr">
        <is>
          <t>dona</t>
        </is>
      </c>
      <c r="F15" s="19" t="n">
        <v>17000</v>
      </c>
      <c r="G15" s="19" t="n">
        <v>22000</v>
      </c>
      <c r="H15" s="20" t="n">
        <v>30</v>
      </c>
      <c r="I15" s="19">
        <f>G15*H15</f>
        <v/>
      </c>
      <c r="J15" s="15" t="inlineStr">
        <is>
          <t>Yetarli</t>
        </is>
      </c>
    </row>
    <row r="16" ht="22" customHeight="1">
      <c r="A16" s="10" t="n">
        <v>9</v>
      </c>
      <c r="B16" s="11" t="inlineStr">
        <is>
          <t>4780001234091</t>
        </is>
      </c>
      <c r="C16" s="12" t="inlineStr">
        <is>
          <t>Snickers Shokolad 50g</t>
        </is>
      </c>
      <c r="D16" s="12" t="inlineStr">
        <is>
          <t>Shirinliklar</t>
        </is>
      </c>
      <c r="E16" s="10" t="inlineStr">
        <is>
          <t>dona</t>
        </is>
      </c>
      <c r="F16" s="13" t="n">
        <v>6500</v>
      </c>
      <c r="G16" s="13" t="n">
        <v>8500</v>
      </c>
      <c r="H16" s="14" t="n">
        <v>150</v>
      </c>
      <c r="I16" s="13">
        <f>G16*H16</f>
        <v/>
      </c>
      <c r="J16" s="15" t="inlineStr">
        <is>
          <t>Yetarli</t>
        </is>
      </c>
    </row>
    <row r="17" ht="22" customHeight="1">
      <c r="A17" s="16" t="n">
        <v>10</v>
      </c>
      <c r="B17" s="17" t="inlineStr">
        <is>
          <t>4780001234107</t>
        </is>
      </c>
      <c r="C17" s="18" t="inlineStr">
        <is>
          <t>Alpen Gold Shokolad 90g</t>
        </is>
      </c>
      <c r="D17" s="18" t="inlineStr">
        <is>
          <t>Shirinliklar</t>
        </is>
      </c>
      <c r="E17" s="16" t="inlineStr">
        <is>
          <t>dona</t>
        </is>
      </c>
      <c r="F17" s="19" t="n">
        <v>9500</v>
      </c>
      <c r="G17" s="19" t="n">
        <v>12500</v>
      </c>
      <c r="H17" s="20" t="n">
        <v>0</v>
      </c>
      <c r="I17" s="19">
        <f>G17*H17</f>
        <v/>
      </c>
      <c r="J17" s="22" t="inlineStr">
        <is>
          <t>Tugagan</t>
        </is>
      </c>
    </row>
    <row r="18" ht="22" customHeight="1">
      <c r="A18" s="10" t="n">
        <v>11</v>
      </c>
      <c r="B18" s="11" t="inlineStr">
        <is>
          <t>4780001234114</t>
        </is>
      </c>
      <c r="C18" s="12" t="inlineStr">
        <is>
          <t>Dinay Tabiiy Shira 1L</t>
        </is>
      </c>
      <c r="D18" s="12" t="inlineStr">
        <is>
          <t>Ichimliklar</t>
        </is>
      </c>
      <c r="E18" s="10" t="inlineStr">
        <is>
          <t>dona</t>
        </is>
      </c>
      <c r="F18" s="13" t="n">
        <v>11500</v>
      </c>
      <c r="G18" s="13" t="n">
        <v>15000</v>
      </c>
      <c r="H18" s="14" t="n">
        <v>24</v>
      </c>
      <c r="I18" s="13">
        <f>G18*H18</f>
        <v/>
      </c>
      <c r="J18" s="15" t="inlineStr">
        <is>
          <t>Yetarli</t>
        </is>
      </c>
    </row>
    <row r="19" ht="22" customHeight="1">
      <c r="A19" s="16" t="n">
        <v>12</v>
      </c>
      <c r="B19" s="17" t="inlineStr">
        <is>
          <t>4780001234121</t>
        </is>
      </c>
      <c r="C19" s="18" t="inlineStr">
        <is>
          <t>Bobi Guruch Alanga 1kg</t>
        </is>
      </c>
      <c r="D19" s="18" t="inlineStr">
        <is>
          <t>Oziq-ovqat</t>
        </is>
      </c>
      <c r="E19" s="16" t="inlineStr">
        <is>
          <t>kg</t>
        </is>
      </c>
      <c r="F19" s="19" t="n">
        <v>19000</v>
      </c>
      <c r="G19" s="19" t="n">
        <v>24000</v>
      </c>
      <c r="H19" s="20" t="n">
        <v>210</v>
      </c>
      <c r="I19" s="19">
        <f>G19*H19</f>
        <v/>
      </c>
      <c r="J19" s="15" t="inlineStr">
        <is>
          <t>Yetarli</t>
        </is>
      </c>
    </row>
    <row r="20" ht="22" customHeight="1">
      <c r="A20" s="10" t="n">
        <v>13</v>
      </c>
      <c r="B20" s="11" t="inlineStr">
        <is>
          <t>4780001234138</t>
        </is>
      </c>
      <c r="C20" s="12" t="inlineStr">
        <is>
          <t>Makfa Makaron 500g</t>
        </is>
      </c>
      <c r="D20" s="12" t="inlineStr">
        <is>
          <t>Oziq-ovqat</t>
        </is>
      </c>
      <c r="E20" s="10" t="inlineStr">
        <is>
          <t>dona</t>
        </is>
      </c>
      <c r="F20" s="13" t="n">
        <v>7500</v>
      </c>
      <c r="G20" s="13" t="n">
        <v>10000</v>
      </c>
      <c r="H20" s="14" t="n">
        <v>95</v>
      </c>
      <c r="I20" s="13">
        <f>G20*H20</f>
        <v/>
      </c>
      <c r="J20" s="15" t="inlineStr">
        <is>
          <t>Yetarli</t>
        </is>
      </c>
    </row>
    <row r="21" ht="22" customHeight="1">
      <c r="A21" s="16" t="n">
        <v>14</v>
      </c>
      <c r="B21" s="17" t="inlineStr">
        <is>
          <t>4780001234145</t>
        </is>
      </c>
      <c r="C21" s="18" t="inlineStr">
        <is>
          <t>Ariel Kir Yuvish Kukun 3kg</t>
        </is>
      </c>
      <c r="D21" s="18" t="inlineStr">
        <is>
          <t>Maishiy kimyo</t>
        </is>
      </c>
      <c r="E21" s="16" t="inlineStr">
        <is>
          <t>dona</t>
        </is>
      </c>
      <c r="F21" s="19" t="n">
        <v>68000</v>
      </c>
      <c r="G21" s="19" t="n">
        <v>85000</v>
      </c>
      <c r="H21" s="20" t="n">
        <v>14</v>
      </c>
      <c r="I21" s="19">
        <f>G21*H21</f>
        <v/>
      </c>
      <c r="J21" s="15" t="inlineStr">
        <is>
          <t>Yetarli</t>
        </is>
      </c>
    </row>
    <row r="22" ht="22" customHeight="1">
      <c r="A22" s="10" t="n">
        <v>15</v>
      </c>
      <c r="B22" s="11" t="inlineStr">
        <is>
          <t>4780001234152</t>
        </is>
      </c>
      <c r="C22" s="12" t="inlineStr">
        <is>
          <t>Fairy Idish Yuvish Gel 500ml</t>
        </is>
      </c>
      <c r="D22" s="12" t="inlineStr">
        <is>
          <t>Maishiy kimyo</t>
        </is>
      </c>
      <c r="E22" s="10" t="inlineStr">
        <is>
          <t>dona</t>
        </is>
      </c>
      <c r="F22" s="13" t="n">
        <v>16000</v>
      </c>
      <c r="G22" s="13" t="n">
        <v>21000</v>
      </c>
      <c r="H22" s="14" t="n">
        <v>6</v>
      </c>
      <c r="I22" s="13">
        <f>G22*H22</f>
        <v/>
      </c>
      <c r="J22" s="21" t="inlineStr">
        <is>
          <t>Kam qoldi</t>
        </is>
      </c>
    </row>
    <row r="23" ht="26" customHeight="1">
      <c r="A23" s="23" t="inlineStr">
        <is>
          <t>Jami / O'rtacha Ko'rsatkichlar:</t>
        </is>
      </c>
      <c r="B23" s="30" t="n"/>
      <c r="C23" s="30" t="n"/>
      <c r="D23" s="30" t="n"/>
      <c r="E23" s="31" t="n"/>
      <c r="F23" s="25">
        <f>AVERAGE(F8:F22)</f>
        <v/>
      </c>
      <c r="G23" s="25">
        <f>AVERAGE(G8:G22)</f>
        <v/>
      </c>
      <c r="H23" s="26">
        <f>SUM(H8:H22)</f>
        <v/>
      </c>
      <c r="I23" s="27">
        <f>SUM(I8:I22)</f>
        <v/>
      </c>
      <c r="J23" s="24" t="inlineStr"/>
    </row>
    <row r="24">
      <c r="A24" t="n">
        <v>17</v>
      </c>
      <c r="B24" t="inlineStr">
        <is>
          <t>NB-ASUS-001</t>
        </is>
      </c>
      <c r="C24" t="inlineStr">
        <is>
          <t>Notebook Asus</t>
        </is>
      </c>
      <c r="D24" t="inlineStr">
        <is>
          <t>Elektronika &amp; Kompyuterlar</t>
        </is>
      </c>
      <c r="E24" t="inlineStr">
        <is>
          <t>dona</t>
        </is>
      </c>
      <c r="F24" t="n">
        <v>12800000</v>
      </c>
      <c r="G24" t="n">
        <v>15360000</v>
      </c>
      <c r="H24" t="n">
        <v>1</v>
      </c>
      <c r="I24">
        <f>G24*H24</f>
        <v/>
      </c>
      <c r="J24" t="inlineStr">
        <is>
          <t>Yetarli</t>
        </is>
      </c>
    </row>
    <row r="25">
      <c r="A25" t="n">
        <v>24</v>
      </c>
      <c r="B25" t="inlineStr">
        <is>
          <t>NB-ASUS-001</t>
        </is>
      </c>
      <c r="C25" t="inlineStr">
        <is>
          <t>Notebook Asus</t>
        </is>
      </c>
      <c r="D25" t="inlineStr">
        <is>
          <t>Elektronika &amp; Kompyuterlar</t>
        </is>
      </c>
      <c r="E25" t="inlineStr">
        <is>
          <t>dona</t>
        </is>
      </c>
      <c r="F25" t="n">
        <v>12800000</v>
      </c>
      <c r="G25" t="n">
        <v>15360000</v>
      </c>
      <c r="H25" t="n">
        <v>2</v>
      </c>
      <c r="I25">
        <f>F25*H25</f>
        <v/>
      </c>
      <c r="J25">
        <f>G25*H25</f>
        <v/>
      </c>
      <c r="K25">
        <f>J25-I25</f>
        <v/>
      </c>
      <c r="L25" t="inlineStr">
        <is>
          <t>Kam qoldi</t>
        </is>
      </c>
    </row>
  </sheetData>
  <mergeCells count="11">
    <mergeCell ref="A4:B4"/>
    <mergeCell ref="A1:J1"/>
    <mergeCell ref="E5:G5"/>
    <mergeCell ref="H5:J5"/>
    <mergeCell ref="C5:D5"/>
    <mergeCell ref="A5:B5"/>
    <mergeCell ref="H4:J4"/>
    <mergeCell ref="E4:G4"/>
    <mergeCell ref="A23:E23"/>
    <mergeCell ref="A2:J2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2026-08-01T14:43:49Z</dcterms:created>
  <dcterms:modified xsi:type="dcterms:W3CDTF">2026-08-01T15:55:18Z</dcterms:modified>
</cp:coreProperties>
</file>